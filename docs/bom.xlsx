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<sst xmlns="http://schemas.openxmlformats.org/spreadsheetml/2006/main" count="39" uniqueCount="38">
  <si>
    <t xml:space="preserve">BOM</t>
  </si>
  <si>
    <t xml:space="preserve">Nome Componente</t>
  </si>
  <si>
    <t xml:space="preserve">Prezzo</t>
  </si>
  <si>
    <t xml:space="preserve">Quantità</t>
  </si>
  <si>
    <t xml:space="preserve">Riserva</t>
  </si>
  <si>
    <t xml:space="preserve">Prezzo Riserve</t>
  </si>
  <si>
    <t xml:space="preserve">Descrizione</t>
  </si>
  <si>
    <t xml:space="preserve">Link</t>
  </si>
  <si>
    <t xml:space="preserve">ToF VL53L1X</t>
  </si>
  <si>
    <t xml:space="preserve">Sensore di distanza a luce IR </t>
  </si>
  <si>
    <t xml:space="preserve">IMU MPU6050</t>
  </si>
  <si>
    <t xml:space="preserve">Sensore di orientamento axis XYZ</t>
  </si>
  <si>
    <t xml:space="preserve">TCS34725</t>
  </si>
  <si>
    <t xml:space="preserve">Sensore RGB riconoscimento linea</t>
  </si>
  <si>
    <t xml:space="preserve">25mm 12V Brushless DC Gear Motor Model NFP-GM25-BL2430</t>
  </si>
  <si>
    <t xml:space="preserve">Motori 45:1 12V</t>
  </si>
  <si>
    <t xml:space="preserve">LiPo 3S 2200mAh 30C</t>
  </si>
  <si>
    <t xml:space="preserve">Batteria LiPo 11.1V Nominale (2)</t>
  </si>
  <si>
    <t xml:space="preserve">Raspberry Pi Compute Module 4 8GB RAM, 8GB Flash</t>
  </si>
  <si>
    <t xml:space="preserve">MPU per elaborazione immagini</t>
  </si>
  <si>
    <t xml:space="preserve">GM25 Gear Motor Mounting Bracket</t>
  </si>
  <si>
    <t xml:space="preserve">Bracket per motori</t>
  </si>
  <si>
    <t xml:space="preserve">TOTALE</t>
  </si>
  <si>
    <t xml:space="preserve">BUDGET</t>
  </si>
  <si>
    <t xml:space="preserve">Componenti</t>
  </si>
  <si>
    <t xml:space="preserve">Limit</t>
  </si>
  <si>
    <t xml:space="preserve">Budget</t>
  </si>
  <si>
    <t xml:space="preserve">Superato</t>
  </si>
  <si>
    <t xml:space="preserve">Superato con Riserve</t>
  </si>
  <si>
    <t xml:space="preserve">Componenti di Riserva</t>
  </si>
  <si>
    <t xml:space="preserve">Soft Limit</t>
  </si>
  <si>
    <t xml:space="preserve">Componenti Totali</t>
  </si>
  <si>
    <t xml:space="preserve">Hard Limit</t>
  </si>
  <si>
    <t xml:space="preserve">Prezzo Componenti</t>
  </si>
  <si>
    <t xml:space="preserve">Prezzo Componenti di Riserva</t>
  </si>
  <si>
    <t xml:space="preserve">Prezzo Totale</t>
  </si>
  <si>
    <t xml:space="preserve">Prezzo per Persona</t>
  </si>
  <si>
    <t xml:space="preserve">Prezzo per Persona con Riserve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</si>
</sst>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-410];[RED]#,##0.00\ [$€-410]"/>
    <numFmt numFmtId="166" formatCode="#,##0\ [$€-410];[RED]#,##0\ [$€-410]"/>
    <numFmt numFmtId="167" formatCode="[&lt;&gt;0]&quot;SI&quot;;&quot;NO&quot;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6946A"/>
      <name val="Inter 18pt"/>
      <family val="0"/>
      <charset val="1"/>
    </font>
    <font>
      <sz val="10"/>
      <color rgb="FF76946A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81616"/>
        <bgColor rgb="FF2A2A2A"/>
      </patternFill>
    </fill>
    <fill>
      <patternFill patternType="solid">
        <fgColor rgb="FF2A2A2A"/>
        <bgColor rgb="FF33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>
        <color rgb="FF76946A"/>
      </right>
      <top style="thin">
        <color rgb="FF76946A"/>
      </top>
      <bottom/>
      <diagonal/>
    </border>
    <border diagonalUp="false" diagonalDown="false">
      <left style="thin">
        <color rgb="FF76946A"/>
      </left>
      <right style="thin">
        <color rgb="FF76946A"/>
      </right>
      <top style="thin">
        <color rgb="FF76946A"/>
      </top>
      <bottom/>
      <diagonal/>
    </border>
    <border diagonalUp="false" diagonalDown="false">
      <left style="thin">
        <color rgb="FF76946A"/>
      </left>
      <right/>
      <top style="thin">
        <color rgb="FF76946A"/>
      </top>
      <bottom/>
      <diagonal/>
    </border>
    <border diagonalUp="false" diagonalDown="false">
      <left/>
      <right style="thin">
        <color rgb="FF76946A"/>
      </right>
      <top/>
      <bottom/>
      <diagonal/>
    </border>
    <border diagonalUp="false" diagonalDown="false">
      <left style="thin">
        <color rgb="FF76946A"/>
      </left>
      <right style="thin">
        <color rgb="FF76946A"/>
      </right>
      <top/>
      <bottom/>
      <diagonal/>
    </border>
    <border diagonalUp="false" diagonalDown="false">
      <left style="thin">
        <color rgb="FF76946A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76946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616"/>
      <rgbColor rgb="FF333300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3" activeCellId="0" sqref="G23"/>
    </sheetView>
  </sheetViews>
  <sheetFormatPr defaultColWidth="11.5625" defaultRowHeight="12.75" customHeight="false" zeroHeight="false" outlineLevelRow="0" outlineLevelCol="0"/>
  <cols>
    <col collapsed="false" customWidth="true" hidden="false" outlineLevel="0" max="2" min="2" style="1" width="55.16"/>
    <col collapsed="false" customWidth="true" hidden="false" outlineLevel="0" max="3" min="3" style="1" width="9.21"/>
    <col collapsed="false" customWidth="true" hidden="false" outlineLevel="0" max="4" min="4" style="1" width="9.6"/>
    <col collapsed="false" customWidth="true" hidden="false" outlineLevel="0" max="5" min="5" style="1" width="7.96"/>
    <col collapsed="false" customWidth="true" hidden="false" outlineLevel="0" max="6" min="6" style="1" width="8.09"/>
    <col collapsed="false" customWidth="true" hidden="false" outlineLevel="0" max="7" min="7" style="1" width="14.04"/>
    <col collapsed="false" customWidth="true" hidden="false" outlineLevel="0" max="11" min="11" style="1" width="15.3"/>
  </cols>
  <sheetData>
    <row r="2" customFormat="false" ht="12.7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2.7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2.75" hidden="false" customHeight="false" outlineLevel="0" collapsed="false">
      <c r="B4" s="3" t="s">
        <v>1</v>
      </c>
      <c r="C4" s="4" t="s">
        <v>2</v>
      </c>
      <c r="D4" s="4" t="s">
        <v>3</v>
      </c>
      <c r="E4" s="4" t="s">
        <v>4</v>
      </c>
      <c r="F4" s="4" t="s">
        <v>2</v>
      </c>
      <c r="G4" s="4" t="s">
        <v>5</v>
      </c>
      <c r="H4" s="5" t="s">
        <v>6</v>
      </c>
      <c r="I4" s="5"/>
      <c r="J4" s="5"/>
      <c r="K4" s="5" t="s">
        <v>7</v>
      </c>
    </row>
    <row r="5" customFormat="false" ht="12.75" hidden="false" customHeight="false" outlineLevel="0" collapsed="false">
      <c r="B5" s="6" t="s">
        <v>8</v>
      </c>
      <c r="C5" s="7" t="n">
        <v>4.89</v>
      </c>
      <c r="D5" s="8" t="n">
        <v>5</v>
      </c>
      <c r="E5" s="8" t="n">
        <v>1</v>
      </c>
      <c r="F5" s="7" t="n">
        <f aca="false">PRODUCT(C$5,D$5)</f>
        <v>24.45</v>
      </c>
      <c r="G5" s="7" t="n">
        <f aca="false">PRODUCT(C$5,E$5)</f>
        <v>4.89</v>
      </c>
      <c r="H5" s="9" t="s">
        <v>9</v>
      </c>
      <c r="I5" s="9"/>
      <c r="J5" s="9"/>
      <c r="K5" s="9" t="str">
        <f aca="false">HYPERLINK("https:/it.aliexpress.com/item/1005010748308679.html","AliExpress")</f>
        <v>AliExpress</v>
      </c>
    </row>
    <row r="6" customFormat="false" ht="12.75" hidden="false" customHeight="false" outlineLevel="0" collapsed="false">
      <c r="B6" s="10" t="s">
        <v>10</v>
      </c>
      <c r="C6" s="11" t="n">
        <v>2.11</v>
      </c>
      <c r="D6" s="12" t="n">
        <v>2</v>
      </c>
      <c r="E6" s="12" t="n">
        <v>1</v>
      </c>
      <c r="F6" s="11" t="n">
        <f aca="false">PRODUCT(C$6,D$6)</f>
        <v>4.22</v>
      </c>
      <c r="G6" s="11" t="n">
        <f aca="false">PRODUCT(C$6,E$6)</f>
        <v>2.11</v>
      </c>
      <c r="H6" s="12" t="s">
        <v>11</v>
      </c>
      <c r="I6" s="12"/>
      <c r="J6" s="12"/>
      <c r="K6" s="13" t="str">
        <f aca="false">HYPERLINK("https://it.aliexpress.com/item/1005010057794277.html", "AliExpress")</f>
        <v>AliExpress</v>
      </c>
    </row>
    <row r="7" customFormat="false" ht="12.75" hidden="false" customHeight="false" outlineLevel="0" collapsed="false">
      <c r="B7" s="6" t="s">
        <v>12</v>
      </c>
      <c r="C7" s="7" t="n">
        <v>1.72</v>
      </c>
      <c r="D7" s="8" t="n">
        <v>5</v>
      </c>
      <c r="E7" s="8" t="n">
        <v>1</v>
      </c>
      <c r="F7" s="7" t="n">
        <f aca="false">PRODUCT(C$7,D$7)</f>
        <v>8.6</v>
      </c>
      <c r="G7" s="7" t="n">
        <f aca="false">PRODUCT(C$7,E$7)</f>
        <v>1.72</v>
      </c>
      <c r="H7" s="9" t="s">
        <v>13</v>
      </c>
      <c r="I7" s="9"/>
      <c r="J7" s="9"/>
      <c r="K7" s="9" t="str">
        <f aca="false">HYPERLINK("https://it.aliexpress.com/item/32956966425.html","AliExpress")</f>
        <v>AliExpress</v>
      </c>
    </row>
    <row r="8" customFormat="false" ht="12.75" hidden="false" customHeight="false" outlineLevel="0" collapsed="false">
      <c r="B8" s="10" t="s">
        <v>14</v>
      </c>
      <c r="C8" s="11" t="n">
        <v>17.52</v>
      </c>
      <c r="D8" s="12" t="n">
        <v>4</v>
      </c>
      <c r="E8" s="12" t="n">
        <v>1</v>
      </c>
      <c r="F8" s="11" t="n">
        <f aca="false">PRODUCT(C$8,D$8)</f>
        <v>70.08</v>
      </c>
      <c r="G8" s="11" t="n">
        <f aca="false">PRODUCT(C$8,E$8)</f>
        <v>17.52</v>
      </c>
      <c r="H8" s="14" t="s">
        <v>15</v>
      </c>
      <c r="I8" s="14"/>
      <c r="J8" s="14"/>
      <c r="K8" s="14" t="str">
        <f aca="false">HYPERLINK("https://microdcmotors.com/product/25mm-brushless-dc-gear-motor-model-nfp-jga25-2430","MicroDCMotors")</f>
        <v>MicroDCMotors</v>
      </c>
    </row>
    <row r="9" customFormat="false" ht="12.75" hidden="false" customHeight="false" outlineLevel="0" collapsed="false">
      <c r="B9" s="6" t="s">
        <v>16</v>
      </c>
      <c r="C9" s="7" t="n">
        <v>17.29</v>
      </c>
      <c r="D9" s="8" t="n">
        <v>1</v>
      </c>
      <c r="E9" s="8" t="n">
        <v>0</v>
      </c>
      <c r="F9" s="7" t="n">
        <f aca="false">PRODUCT(C$9,D$9)</f>
        <v>17.29</v>
      </c>
      <c r="G9" s="7" t="n">
        <f aca="false">PRODUCT(C$9,E$9)</f>
        <v>0</v>
      </c>
      <c r="H9" s="9" t="s">
        <v>17</v>
      </c>
      <c r="I9" s="9"/>
      <c r="J9" s="9"/>
      <c r="K9" s="9" t="str">
        <f aca="false">HYPERLINK("https://chinahobbyline.com/it/products/cnhl-black-series-2200mah-11-1v-3s-30c-lipo-battery-with-xt60-plug?variant=42646803808470","ChineHobbyLine")</f>
        <v>ChineHobbyLine</v>
      </c>
    </row>
    <row r="10" customFormat="false" ht="12.75" hidden="false" customHeight="false" outlineLevel="0" collapsed="false">
      <c r="B10" s="15" t="s">
        <v>18</v>
      </c>
      <c r="C10" s="16" t="n">
        <v>108.8</v>
      </c>
      <c r="D10" s="17" t="n">
        <v>1</v>
      </c>
      <c r="E10" s="17" t="n">
        <v>0</v>
      </c>
      <c r="F10" s="16" t="n">
        <f aca="false">PRODUCT(C$10,D$10)</f>
        <v>108.8</v>
      </c>
      <c r="G10" s="16" t="n">
        <f aca="false">PRODUCT(C$10,E$10)</f>
        <v>0</v>
      </c>
      <c r="H10" s="18" t="s">
        <v>19</v>
      </c>
      <c r="I10" s="18"/>
      <c r="J10" s="18"/>
      <c r="K10" s="18" t="str">
        <f aca="false">HYPERLINK("https://www.ebay.it/itm/116901050395","Ebay")</f>
        <v>Ebay</v>
      </c>
    </row>
    <row r="11" customFormat="false" ht="12.75" hidden="false" customHeight="false" outlineLevel="0" collapsed="false">
      <c r="B11" s="19" t="s">
        <v>20</v>
      </c>
      <c r="C11" s="20" t="n">
        <v>3</v>
      </c>
      <c r="D11" s="21" t="n">
        <f aca="false">D8</f>
        <v>4</v>
      </c>
      <c r="E11" s="21" t="n">
        <v>0</v>
      </c>
      <c r="F11" s="20" t="n">
        <f aca="false">PRODUCT(C$11:D$11)</f>
        <v>12</v>
      </c>
      <c r="G11" s="20" t="n">
        <f aca="false">PRODUCT(C$11,E$11)</f>
        <v>0</v>
      </c>
      <c r="H11" s="22" t="s">
        <v>21</v>
      </c>
      <c r="I11" s="22"/>
      <c r="J11" s="22"/>
      <c r="K11" s="23" t="str">
        <f aca="false">HYPERLINK("https://microdcmotors.com/product/gm25-gear-motor-mounting-bracket-stand","ChineHobbyLine")</f>
        <v>ChineHobbyLine</v>
      </c>
    </row>
    <row r="12" customFormat="false" ht="12.75" hidden="false" customHeight="false" outlineLevel="0" collapsed="false">
      <c r="B12" s="0"/>
      <c r="C12" s="0"/>
      <c r="D12" s="0"/>
      <c r="E12" s="0"/>
      <c r="F12" s="0"/>
      <c r="G12" s="0"/>
      <c r="K12" s="0"/>
    </row>
    <row r="13" customFormat="false" ht="12.75" hidden="false" customHeight="false" outlineLevel="0" collapsed="false">
      <c r="B13" s="0"/>
      <c r="C13" s="0"/>
      <c r="D13" s="0"/>
      <c r="E13" s="0"/>
      <c r="F13" s="0"/>
      <c r="G13" s="0"/>
      <c r="K13" s="0"/>
    </row>
    <row r="14" customFormat="false" ht="12.75" hidden="false" customHeight="false" outlineLevel="0" collapsed="false">
      <c r="B14" s="2" t="s">
        <v>22</v>
      </c>
      <c r="C14" s="2"/>
      <c r="E14" s="2" t="s">
        <v>23</v>
      </c>
      <c r="F14" s="2"/>
      <c r="G14" s="2"/>
      <c r="H14" s="2"/>
      <c r="I14" s="2"/>
      <c r="J14" s="2"/>
    </row>
    <row r="15" customFormat="false" ht="12.75" hidden="false" customHeight="false" outlineLevel="0" collapsed="false">
      <c r="B15" s="2"/>
      <c r="C15" s="2"/>
      <c r="E15" s="2"/>
      <c r="F15" s="2"/>
      <c r="G15" s="2"/>
      <c r="H15" s="2"/>
      <c r="I15" s="2"/>
      <c r="J15" s="2"/>
    </row>
    <row r="16" customFormat="false" ht="12.75" hidden="false" customHeight="false" outlineLevel="0" collapsed="false">
      <c r="B16" s="24" t="s">
        <v>24</v>
      </c>
      <c r="C16" s="25" t="n">
        <f aca="false">SUM(D$5:D$11)</f>
        <v>22</v>
      </c>
      <c r="E16" s="3" t="s">
        <v>25</v>
      </c>
      <c r="F16" s="3"/>
      <c r="G16" s="4" t="s">
        <v>26</v>
      </c>
      <c r="H16" s="4" t="s">
        <v>27</v>
      </c>
      <c r="I16" s="5" t="s">
        <v>28</v>
      </c>
      <c r="J16" s="5"/>
    </row>
    <row r="17" customFormat="false" ht="12.75" hidden="false" customHeight="false" outlineLevel="0" collapsed="false">
      <c r="B17" s="26" t="s">
        <v>29</v>
      </c>
      <c r="C17" s="9" t="n">
        <f aca="false">SUM(E$5:E$11)</f>
        <v>4</v>
      </c>
      <c r="E17" s="27" t="s">
        <v>30</v>
      </c>
      <c r="F17" s="27"/>
      <c r="G17" s="28" t="n">
        <v>150</v>
      </c>
      <c r="H17" s="29" t="n">
        <f aca="false">IF(C19&gt;G17,TRUE())</f>
        <v>1</v>
      </c>
      <c r="I17" s="30" t="n">
        <f aca="false">IF(C21&gt;G17,TRUE())</f>
        <v>1</v>
      </c>
      <c r="J17" s="30"/>
    </row>
    <row r="18" customFormat="false" ht="12.75" hidden="false" customHeight="false" outlineLevel="0" collapsed="false">
      <c r="B18" s="31" t="s">
        <v>31</v>
      </c>
      <c r="C18" s="14" t="n">
        <f aca="false">SUM(C16:C17)</f>
        <v>26</v>
      </c>
      <c r="E18" s="15" t="s">
        <v>32</v>
      </c>
      <c r="F18" s="15"/>
      <c r="G18" s="32" t="n">
        <v>200</v>
      </c>
      <c r="H18" s="33" t="n">
        <f aca="false">IF(C19&gt;G18,TRUE())</f>
        <v>1</v>
      </c>
      <c r="I18" s="34" t="n">
        <f aca="false">IF(C21&gt;G18,TRUE())</f>
        <v>1</v>
      </c>
      <c r="J18" s="34"/>
    </row>
    <row r="19" customFormat="false" ht="12.75" hidden="false" customHeight="false" outlineLevel="0" collapsed="false">
      <c r="B19" s="35" t="s">
        <v>33</v>
      </c>
      <c r="C19" s="36" t="n">
        <f aca="false">SUM(F$5:F$11)</f>
        <v>245.44</v>
      </c>
    </row>
    <row r="20" customFormat="false" ht="12.75" hidden="false" customHeight="false" outlineLevel="0" collapsed="false">
      <c r="B20" s="31" t="s">
        <v>34</v>
      </c>
      <c r="C20" s="37" t="n">
        <f aca="false">SUM(G5:G10)</f>
        <v>26.24</v>
      </c>
    </row>
    <row r="21" customFormat="false" ht="12.75" hidden="false" customHeight="false" outlineLevel="0" collapsed="false">
      <c r="B21" s="26" t="s">
        <v>35</v>
      </c>
      <c r="C21" s="38" t="n">
        <f aca="false">SUM(C19:C20)</f>
        <v>271.68</v>
      </c>
    </row>
    <row r="22" customFormat="false" ht="12.75" hidden="false" customHeight="false" outlineLevel="0" collapsed="false">
      <c r="B22" s="3" t="s">
        <v>36</v>
      </c>
      <c r="C22" s="39" t="n">
        <f aca="false">QUOTIENT(C$19,3)</f>
        <v>81</v>
      </c>
    </row>
    <row r="23" customFormat="false" ht="12.75" hidden="false" customHeight="false" outlineLevel="0" collapsed="false">
      <c r="B23" s="40" t="s">
        <v>37</v>
      </c>
      <c r="C23" s="41" t="n">
        <f aca="false">QUOTIENT(C$21,3)</f>
        <v>90</v>
      </c>
    </row>
    <row r="25" customFormat="false" ht="12.75" hidden="false" customHeight="false" outlineLevel="0" collapsed="false">
      <c r="E25" s="42"/>
    </row>
    <row r="26" customFormat="false" ht="12.75" hidden="false" customHeight="false" outlineLevel="0" collapsed="false">
      <c r="H26" s="1"/>
      <c r="I26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7">
    <mergeCell ref="B2:K3"/>
    <mergeCell ref="H4:J4"/>
    <mergeCell ref="H5:J5"/>
    <mergeCell ref="H6:J6"/>
    <mergeCell ref="H7:J7"/>
    <mergeCell ref="H8:J8"/>
    <mergeCell ref="H9:J9"/>
    <mergeCell ref="H10:J10"/>
    <mergeCell ref="H11:J11"/>
    <mergeCell ref="B14:C15"/>
    <mergeCell ref="E14:J15"/>
    <mergeCell ref="E16:F16"/>
    <mergeCell ref="I16:J16"/>
    <mergeCell ref="E17:F17"/>
    <mergeCell ref="I17:J17"/>
    <mergeCell ref="E18:F18"/>
    <mergeCell ref="I18:J18"/>
  </mergeCells>
  <conditionalFormatting sqref="H17:I18">
    <cfRule type="cellIs" priority="2" operator="equal" aboveAverage="0" equalAverage="0" bottom="0" percent="0" rank="0" text="" dxfId="0">
      <formula>0</formula>
    </cfRule>
  </conditionalFormatting>
  <conditionalFormatting sqref="H17:I18"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2026-07-03T11:48:57Z</dcterms:created>
  <dc:creator>pc</dc:creator>
  <dc:description/>
  <dc:language>it-IT</dc:language>
  <cp:lastModifiedBy/>
  <dcterms:modified xsi:type="dcterms:W3CDTF">2026-07-28T22:21:54Z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